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By owner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9" customWidth="1" min="8" max="8"/>
    <col width="11" customWidth="1" min="9" max="9"/>
  </cols>
  <sheetData>
    <row r="1">
      <c r="A1" s="1" t="inlineStr">
        <is>
          <t>Tasks</t>
        </is>
      </c>
    </row>
    <row r="2">
      <c r="A2" s="2" t="inlineStr">
        <is>
          <t>Filter by status or owner. Percent complete is a fraction, so 0.5 shows as 50%.</t>
        </is>
      </c>
    </row>
    <row r="4" ht="30" customHeight="1">
      <c r="A4" s="3" t="inlineStr">
        <is>
          <t>ID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Start</t>
        </is>
      </c>
      <c r="G4" s="3" t="inlineStr">
        <is>
          <t>Due</t>
        </is>
      </c>
      <c r="H4" s="3" t="inlineStr">
        <is>
          <t>Done</t>
        </is>
      </c>
      <c r="I4" s="3" t="inlineStr">
        <is>
          <t>Days left</t>
        </is>
      </c>
    </row>
    <row r="5">
      <c r="A5" s="4" t="inlineStr">
        <is>
          <t>T-01</t>
        </is>
      </c>
      <c r="B5" s="4" t="inlineStr">
        <is>
          <t>Discovery interviews</t>
        </is>
      </c>
      <c r="C5" s="4" t="inlineStr">
        <is>
          <t>Sam</t>
        </is>
      </c>
      <c r="D5" s="4" t="inlineStr">
        <is>
          <t>Done</t>
        </is>
      </c>
      <c r="E5" s="4" t="inlineStr">
        <is>
          <t>High</t>
        </is>
      </c>
      <c r="F5" s="4" t="inlineStr">
        <is>
          <t>2026-01-06</t>
        </is>
      </c>
      <c r="G5" s="4" t="inlineStr">
        <is>
          <t>2026-01-24</t>
        </is>
      </c>
      <c r="H5" s="4" t="n">
        <v>1</v>
      </c>
      <c r="I5" s="5">
        <f>G2-TODAY()</f>
        <v/>
      </c>
    </row>
    <row r="6">
      <c r="A6" s="4" t="inlineStr">
        <is>
          <t>T-02</t>
        </is>
      </c>
      <c r="B6" s="4" t="inlineStr">
        <is>
          <t>Process map</t>
        </is>
      </c>
      <c r="C6" s="4" t="inlineStr">
        <is>
          <t>Sam</t>
        </is>
      </c>
      <c r="D6" s="4" t="inlineStr">
        <is>
          <t>Done</t>
        </is>
      </c>
      <c r="E6" s="4" t="inlineStr">
        <is>
          <t>High</t>
        </is>
      </c>
      <c r="F6" s="4" t="inlineStr">
        <is>
          <t>2026-01-20</t>
        </is>
      </c>
      <c r="G6" s="4" t="inlineStr">
        <is>
          <t>2026-02-07</t>
        </is>
      </c>
      <c r="H6" s="4" t="n">
        <v>1</v>
      </c>
      <c r="I6" s="5">
        <f>G3-TODAY()</f>
        <v/>
      </c>
    </row>
    <row r="7">
      <c r="A7" s="4" t="inlineStr">
        <is>
          <t>T-03</t>
        </is>
      </c>
      <c r="B7" s="4" t="inlineStr">
        <is>
          <t>Data model</t>
        </is>
      </c>
      <c r="C7" s="4" t="inlineStr">
        <is>
          <t>Rae</t>
        </is>
      </c>
      <c r="D7" s="4" t="inlineStr">
        <is>
          <t>In progress</t>
        </is>
      </c>
      <c r="E7" s="4" t="inlineStr">
        <is>
          <t>High</t>
        </is>
      </c>
      <c r="F7" s="4" t="inlineStr">
        <is>
          <t>2026-02-03</t>
        </is>
      </c>
      <c r="G7" s="4" t="inlineStr">
        <is>
          <t>2026-03-07</t>
        </is>
      </c>
      <c r="H7" s="4" t="n">
        <v>0.6</v>
      </c>
      <c r="I7" s="5">
        <f>G4-TODAY()</f>
        <v/>
      </c>
    </row>
    <row r="8">
      <c r="A8" s="4" t="inlineStr">
        <is>
          <t>T-04</t>
        </is>
      </c>
      <c r="B8" s="4" t="inlineStr">
        <is>
          <t>Prototype</t>
        </is>
      </c>
      <c r="C8" s="4" t="inlineStr">
        <is>
          <t>Rae</t>
        </is>
      </c>
      <c r="D8" s="4" t="inlineStr">
        <is>
          <t>In progress</t>
        </is>
      </c>
      <c r="E8" s="4" t="inlineStr">
        <is>
          <t>Medium</t>
        </is>
      </c>
      <c r="F8" s="4" t="inlineStr">
        <is>
          <t>2026-02-17</t>
        </is>
      </c>
      <c r="G8" s="4" t="inlineStr">
        <is>
          <t>2026-03-21</t>
        </is>
      </c>
      <c r="H8" s="4" t="n">
        <v>0.35</v>
      </c>
      <c r="I8" s="5">
        <f>G5-TODAY()</f>
        <v/>
      </c>
    </row>
    <row r="9">
      <c r="A9" s="4" t="inlineStr">
        <is>
          <t>T-05</t>
        </is>
      </c>
      <c r="B9" s="4" t="inlineStr">
        <is>
          <t>Schema adapter</t>
        </is>
      </c>
      <c r="C9" s="4" t="inlineStr">
        <is>
          <t>Kit</t>
        </is>
      </c>
      <c r="D9" s="4" t="inlineStr">
        <is>
          <t>Blocked</t>
        </is>
      </c>
      <c r="E9" s="4" t="inlineStr">
        <is>
          <t>High</t>
        </is>
      </c>
      <c r="F9" s="4" t="inlineStr">
        <is>
          <t>2026-02-24</t>
        </is>
      </c>
      <c r="G9" s="4" t="inlineStr">
        <is>
          <t>2026-03-14</t>
        </is>
      </c>
      <c r="H9" s="4" t="n">
        <v>0.2</v>
      </c>
      <c r="I9" s="5">
        <f>G6-TODAY()</f>
        <v/>
      </c>
    </row>
    <row r="10">
      <c r="A10" s="4" t="inlineStr">
        <is>
          <t>T-06</t>
        </is>
      </c>
      <c r="B10" s="4" t="inlineStr">
        <is>
          <t>Parallel run</t>
        </is>
      </c>
      <c r="C10" s="4" t="inlineStr">
        <is>
          <t>Team</t>
        </is>
      </c>
      <c r="D10" s="4" t="inlineStr">
        <is>
          <t>Not started</t>
        </is>
      </c>
      <c r="E10" s="4" t="inlineStr">
        <is>
          <t>High</t>
        </is>
      </c>
      <c r="F10" s="4" t="inlineStr">
        <is>
          <t>2026-03-17</t>
        </is>
      </c>
      <c r="G10" s="4" t="inlineStr">
        <is>
          <t>2026-04-04</t>
        </is>
      </c>
      <c r="H10" s="4" t="n">
        <v>0</v>
      </c>
      <c r="I10" s="5">
        <f>G7-TODAY()</f>
        <v/>
      </c>
    </row>
    <row r="11">
      <c r="A11" s="4" t="inlineStr">
        <is>
          <t>T-07</t>
        </is>
      </c>
      <c r="B11" s="4" t="inlineStr">
        <is>
          <t>Training material</t>
        </is>
      </c>
      <c r="C11" s="4" t="inlineStr">
        <is>
          <t>Jo</t>
        </is>
      </c>
      <c r="D11" s="4" t="inlineStr">
        <is>
          <t>Not started</t>
        </is>
      </c>
      <c r="E11" s="4" t="inlineStr">
        <is>
          <t>Medium</t>
        </is>
      </c>
      <c r="F11" s="4" t="inlineStr">
        <is>
          <t>2026-03-24</t>
        </is>
      </c>
      <c r="G11" s="4" t="inlineStr">
        <is>
          <t>2026-04-11</t>
        </is>
      </c>
      <c r="H11" s="4" t="n">
        <v>0</v>
      </c>
      <c r="I11" s="5">
        <f>G8-TODAY()</f>
        <v/>
      </c>
    </row>
    <row r="12">
      <c r="A12" s="4" t="inlineStr">
        <is>
          <t>T-08</t>
        </is>
      </c>
      <c r="B12" s="4" t="inlineStr">
        <is>
          <t>Handover pack</t>
        </is>
      </c>
      <c r="C12" s="4" t="inlineStr">
        <is>
          <t>Jo</t>
        </is>
      </c>
      <c r="D12" s="4" t="inlineStr">
        <is>
          <t>Not started</t>
        </is>
      </c>
      <c r="E12" s="4" t="inlineStr">
        <is>
          <t>Medium</t>
        </is>
      </c>
      <c r="F12" s="4" t="inlineStr">
        <is>
          <t>2026-04-07</t>
        </is>
      </c>
      <c r="G12" s="4" t="inlineStr">
        <is>
          <t>2026-04-25</t>
        </is>
      </c>
      <c r="H12" s="4" t="n">
        <v>0</v>
      </c>
      <c r="I12" s="5">
        <f>G9-TODAY()</f>
        <v/>
      </c>
    </row>
    <row r="13">
      <c r="A13" s="6" t="inlineStr"/>
      <c r="B13" s="6" t="inlineStr">
        <is>
          <t>Overall complete</t>
        </is>
      </c>
      <c r="C13" s="6" t="inlineStr"/>
      <c r="D13" s="6" t="inlineStr"/>
      <c r="E13" s="6" t="inlineStr"/>
      <c r="F13" s="6" t="inlineStr"/>
      <c r="G13" s="6" t="inlineStr"/>
      <c r="H13" s="6">
        <f>AVERAGE(H2:H9)</f>
        <v/>
      </c>
      <c r="I1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1" customWidth="1" min="4" max="4"/>
  </cols>
  <sheetData>
    <row r="1">
      <c r="A1" s="1" t="inlineStr">
        <is>
          <t>By owner</t>
        </is>
      </c>
    </row>
    <row r="2">
      <c r="A2" s="2" t="inlineStr">
        <is>
          <t>Workload view for the weekly check-in.</t>
        </is>
      </c>
    </row>
    <row r="4" ht="30" customHeight="1">
      <c r="A4" s="3" t="inlineStr">
        <is>
          <t>Owner</t>
        </is>
      </c>
      <c r="B4" s="3" t="inlineStr">
        <is>
          <t>Total tasks</t>
        </is>
      </c>
      <c r="C4" s="3" t="inlineStr">
        <is>
          <t>Open</t>
        </is>
      </c>
      <c r="D4" s="3" t="inlineStr">
        <is>
          <t>Overdue</t>
        </is>
      </c>
    </row>
    <row r="5">
      <c r="A5" s="4" t="inlineStr">
        <is>
          <t>Sam</t>
        </is>
      </c>
      <c r="B5" s="5">
        <f>COUNTIF(Tasks!C2:C9,"Sam")</f>
        <v/>
      </c>
      <c r="C5" s="5">
        <f>COUNTIFS(Tasks!C2:C9,"Sam",Tasks!D2:D9,"&lt;&gt;Done")</f>
        <v/>
      </c>
      <c r="D5" s="4" t="inlineStr"/>
    </row>
    <row r="6">
      <c r="A6" s="4" t="inlineStr">
        <is>
          <t>Rae</t>
        </is>
      </c>
      <c r="B6" s="5">
        <f>COUNTIF(Tasks!C2:C9,"Rae")</f>
        <v/>
      </c>
      <c r="C6" s="5">
        <f>COUNTIFS(Tasks!C2:C9,"Rae",Tasks!D2:D9,"&lt;&gt;Done")</f>
        <v/>
      </c>
      <c r="D6" s="4" t="inlineStr"/>
    </row>
    <row r="7">
      <c r="A7" s="4" t="inlineStr">
        <is>
          <t>Kit</t>
        </is>
      </c>
      <c r="B7" s="5">
        <f>COUNTIF(Tasks!C2:C9,"Kit")</f>
        <v/>
      </c>
      <c r="C7" s="5">
        <f>COUNTIFS(Tasks!C2:C9,"Kit",Tasks!D2:D9,"&lt;&gt;Done")</f>
        <v/>
      </c>
      <c r="D7" s="4" t="inlineStr"/>
    </row>
    <row r="8">
      <c r="A8" s="4" t="inlineStr">
        <is>
          <t>Jo</t>
        </is>
      </c>
      <c r="B8" s="5">
        <f>COUNTIF(Tasks!C2:C9,"Jo")</f>
        <v/>
      </c>
      <c r="C8" s="5">
        <f>COUNTIFS(Tasks!C2:C9,"Jo",Tasks!D2:D9,"&lt;&gt;Done")</f>
        <v/>
      </c>
      <c r="D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20" customWidth="1" min="5" max="5"/>
  </cols>
  <sheetData>
    <row r="1">
      <c r="A1" s="1" t="inlineStr">
        <is>
          <t>Milestones</t>
        </is>
      </c>
    </row>
    <row r="2">
      <c r="A2" s="2" t="inlineStr">
        <is>
          <t>The dates the whole team is judged on.</t>
        </is>
      </c>
    </row>
    <row r="4" ht="30" customHeight="1">
      <c r="A4" s="3" t="inlineStr">
        <is>
          <t>Milestone</t>
        </is>
      </c>
      <c r="B4" s="3" t="inlineStr">
        <is>
          <t>Due</t>
        </is>
      </c>
      <c r="C4" s="3" t="inlineStr">
        <is>
          <t>Forecast</t>
        </is>
      </c>
      <c r="D4" s="3" t="inlineStr">
        <is>
          <t>Status</t>
        </is>
      </c>
      <c r="E4" s="3" t="inlineStr">
        <is>
          <t>Owner</t>
        </is>
      </c>
    </row>
    <row r="5">
      <c r="A5" s="4" t="inlineStr">
        <is>
          <t>Findings report</t>
        </is>
      </c>
      <c r="B5" s="4" t="inlineStr">
        <is>
          <t>2026-02-07</t>
        </is>
      </c>
      <c r="C5" s="4" t="inlineStr">
        <is>
          <t>2026-02-07</t>
        </is>
      </c>
      <c r="D5" s="4" t="inlineStr">
        <is>
          <t>Met</t>
        </is>
      </c>
      <c r="E5" s="4" t="inlineStr">
        <is>
          <t>Sam</t>
        </is>
      </c>
    </row>
    <row r="6">
      <c r="A6" s="4" t="inlineStr">
        <is>
          <t>Prototype review</t>
        </is>
      </c>
      <c r="B6" s="4" t="inlineStr">
        <is>
          <t>2026-03-21</t>
        </is>
      </c>
      <c r="C6" s="4" t="inlineStr">
        <is>
          <t>2026-03-21</t>
        </is>
      </c>
      <c r="D6" s="4" t="inlineStr">
        <is>
          <t>On track</t>
        </is>
      </c>
      <c r="E6" s="4" t="inlineStr">
        <is>
          <t>Rae</t>
        </is>
      </c>
    </row>
    <row r="7">
      <c r="A7" s="4" t="inlineStr">
        <is>
          <t>Feature complete</t>
        </is>
      </c>
      <c r="B7" s="4" t="inlineStr">
        <is>
          <t>2026-04-04</t>
        </is>
      </c>
      <c r="C7" s="4" t="inlineStr">
        <is>
          <t>2026-04-11</t>
        </is>
      </c>
      <c r="D7" s="4" t="inlineStr">
        <is>
          <t>Slipped</t>
        </is>
      </c>
      <c r="E7" s="4" t="inlineStr">
        <is>
          <t>Kit</t>
        </is>
      </c>
    </row>
    <row r="8">
      <c r="A8" s="4" t="inlineStr">
        <is>
          <t>Go live</t>
        </is>
      </c>
      <c r="B8" s="4" t="inlineStr">
        <is>
          <t>2026-05-02</t>
        </is>
      </c>
      <c r="C8" s="4" t="inlineStr">
        <is>
          <t>2026-05-09</t>
        </is>
      </c>
      <c r="D8" s="4" t="inlineStr">
        <is>
          <t>Slipped</t>
        </is>
      </c>
      <c r="E8" s="4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2026-10-04T13:18:26Z</dcterms:created>
  <dcterms:modified xmlns:dcterms="http://purl.org/dc/terms/" xmlns:xsi="http://www.w3.org/2001/XMLSchema-instance" xsi:type="dcterms:W3CDTF">2026-10-04T13:18:26Z</dcterms:modified>
</cp:coreProperties>
</file>