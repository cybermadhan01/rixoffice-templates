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Mov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C7482"/>
      <sz val="9"/>
    </font>
    <font>
      <b val="1"/>
      <sz val="10"/>
    </font>
    <font>
      <name val="Consolas"/>
      <color rgb="004A5568"/>
      <sz val="9"/>
    </font>
  </fonts>
  <fills count="3">
    <fill>
      <patternFill/>
    </fill>
    <fill>
      <patternFill patternType="gray125"/>
    </fill>
    <fill>
      <patternFill patternType="solid">
        <fgColor rgb="00E8EBF0"/>
      </patternFill>
    </fill>
  </fills>
  <borders count="2">
    <border>
      <left/>
      <right/>
      <top/>
      <bottom/>
      <diagonal/>
    </border>
    <border>
      <left style="thin">
        <color rgb="00C6CBD4"/>
      </left>
      <right style="thin">
        <color rgb="00C6CBD4"/>
      </right>
      <top style="thin">
        <color rgb="00C6CBD4"/>
      </top>
      <bottom style="thin">
        <color rgb="00C6CB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5" customWidth="1" min="3" max="3"/>
    <col width="10" customWidth="1" min="4" max="4"/>
    <col width="13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Stock</t>
        </is>
      </c>
    </row>
    <row r="2">
      <c r="A2" s="2" t="inlineStr">
        <is>
          <t>Quantity on hand versus reorder point; the reorder flag is automatic.</t>
        </is>
      </c>
    </row>
    <row r="4" ht="30" customHeight="1">
      <c r="A4" s="3" t="inlineStr">
        <is>
          <t>SKU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On hand</t>
        </is>
      </c>
      <c r="E4" s="3" t="inlineStr">
        <is>
          <t>Reorder point</t>
        </is>
      </c>
      <c r="F4" s="3" t="inlineStr">
        <is>
          <t>Unit cost</t>
        </is>
      </c>
      <c r="G4" s="3" t="inlineStr">
        <is>
          <t>Value</t>
        </is>
      </c>
      <c r="H4" s="3" t="inlineStr">
        <is>
          <t>Reorder?</t>
        </is>
      </c>
    </row>
    <row r="5">
      <c r="A5" s="4" t="inlineStr">
        <is>
          <t>SKU-1001</t>
        </is>
      </c>
      <c r="B5" s="4" t="inlineStr">
        <is>
          <t>Standing desk frame</t>
        </is>
      </c>
      <c r="C5" s="4" t="inlineStr">
        <is>
          <t>Furniture</t>
        </is>
      </c>
      <c r="D5" s="4" t="n">
        <v>14</v>
      </c>
      <c r="E5" s="4" t="n">
        <v>6</v>
      </c>
      <c r="F5" s="4" t="n">
        <v>420</v>
      </c>
      <c r="G5" s="5">
        <f>D2*F2</f>
        <v/>
      </c>
      <c r="H5" s="5">
        <f>IF(D2&lt;=E2,"Yes","No")</f>
        <v/>
      </c>
    </row>
    <row r="6">
      <c r="A6" s="4" t="inlineStr">
        <is>
          <t>SKU-1002</t>
        </is>
      </c>
      <c r="B6" s="4" t="inlineStr">
        <is>
          <t>Monitor arm, dual</t>
        </is>
      </c>
      <c r="C6" s="4" t="inlineStr">
        <is>
          <t>Accessories</t>
        </is>
      </c>
      <c r="D6" s="4" t="n">
        <v>42</v>
      </c>
      <c r="E6" s="4" t="n">
        <v>20</v>
      </c>
      <c r="F6" s="4" t="n">
        <v>88</v>
      </c>
      <c r="G6" s="5">
        <f>D3*F3</f>
        <v/>
      </c>
      <c r="H6" s="5">
        <f>IF(D3&lt;=E3,"Yes","No")</f>
        <v/>
      </c>
    </row>
    <row r="7">
      <c r="A7" s="4" t="inlineStr">
        <is>
          <t>SKU-1003</t>
        </is>
      </c>
      <c r="B7" s="4" t="inlineStr">
        <is>
          <t>USB-C dock</t>
        </is>
      </c>
      <c r="C7" s="4" t="inlineStr">
        <is>
          <t>Accessories</t>
        </is>
      </c>
      <c r="D7" s="4" t="n">
        <v>9</v>
      </c>
      <c r="E7" s="4" t="n">
        <v>25</v>
      </c>
      <c r="F7" s="4" t="n">
        <v>165</v>
      </c>
      <c r="G7" s="5">
        <f>D4*F4</f>
        <v/>
      </c>
      <c r="H7" s="5">
        <f>IF(D4&lt;=E4,"Yes","No")</f>
        <v/>
      </c>
    </row>
    <row r="8">
      <c r="A8" s="4" t="inlineStr">
        <is>
          <t>SKU-1004</t>
        </is>
      </c>
      <c r="B8" s="4" t="inlineStr">
        <is>
          <t>Laptop 14-inch</t>
        </is>
      </c>
      <c r="C8" s="4" t="inlineStr">
        <is>
          <t>Hardware</t>
        </is>
      </c>
      <c r="D8" s="4" t="n">
        <v>7</v>
      </c>
      <c r="E8" s="4" t="n">
        <v>4</v>
      </c>
      <c r="F8" s="4" t="n">
        <v>1480</v>
      </c>
      <c r="G8" s="5">
        <f>D5*F5</f>
        <v/>
      </c>
      <c r="H8" s="5">
        <f>IF(D5&lt;=E5,"Yes","No")</f>
        <v/>
      </c>
    </row>
    <row r="9">
      <c r="A9" s="4" t="inlineStr">
        <is>
          <t>SKU-1005</t>
        </is>
      </c>
      <c r="B9" s="4" t="inlineStr">
        <is>
          <t>Mechanical keyboard</t>
        </is>
      </c>
      <c r="C9" s="4" t="inlineStr">
        <is>
          <t>Accessories</t>
        </is>
      </c>
      <c r="D9" s="4" t="n">
        <v>26</v>
      </c>
      <c r="E9" s="4" t="n">
        <v>12</v>
      </c>
      <c r="F9" s="4" t="n">
        <v>94</v>
      </c>
      <c r="G9" s="5">
        <f>D6*F6</f>
        <v/>
      </c>
      <c r="H9" s="5">
        <f>IF(D6&lt;=E6,"Yes","No")</f>
        <v/>
      </c>
    </row>
    <row r="10">
      <c r="A10" s="4" t="inlineStr">
        <is>
          <t>SKU-1006</t>
        </is>
      </c>
      <c r="B10" s="4" t="inlineStr">
        <is>
          <t>A4 paper (ream)</t>
        </is>
      </c>
      <c r="C10" s="4" t="inlineStr">
        <is>
          <t>Consumables</t>
        </is>
      </c>
      <c r="D10" s="4" t="n">
        <v>61</v>
      </c>
      <c r="E10" s="4" t="n">
        <v>40</v>
      </c>
      <c r="F10" s="4" t="n">
        <v>5.2</v>
      </c>
      <c r="G10" s="5">
        <f>D7*F7</f>
        <v/>
      </c>
      <c r="H10" s="5">
        <f>IF(D7&lt;=E7,"Yes","No")</f>
        <v/>
      </c>
    </row>
    <row r="11">
      <c r="A11" s="6" t="inlineStr">
        <is>
          <t>Total</t>
        </is>
      </c>
      <c r="B11" s="6" t="inlineStr"/>
      <c r="C11" s="6" t="inlineStr"/>
      <c r="D11" s="6" t="inlineStr"/>
      <c r="E11" s="6" t="inlineStr"/>
      <c r="F11" s="6" t="inlineStr"/>
      <c r="G11" s="6">
        <f>SUM(G2:G7)</f>
        <v/>
      </c>
      <c r="H11" s="6" t="inlineStr">
        <is>
          <t>Items to reorder: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9" customWidth="1" min="4" max="4"/>
    <col width="23" customWidth="1" min="5" max="5"/>
    <col width="13" customWidth="1" min="6" max="6"/>
    <col width="10" customWidth="1" min="7" max="7"/>
  </cols>
  <sheetData>
    <row r="1">
      <c r="A1" s="1" t="inlineStr">
        <is>
          <t>Movements</t>
        </is>
      </c>
    </row>
    <row r="2">
      <c r="A2" s="2" t="inlineStr">
        <is>
          <t>Every stock movement in and out, for the audit trail.</t>
        </is>
      </c>
    </row>
    <row r="4" ht="30" customHeight="1">
      <c r="A4" s="3" t="inlineStr">
        <is>
          <t>Date</t>
        </is>
      </c>
      <c r="B4" s="3" t="inlineStr">
        <is>
          <t>SKU</t>
        </is>
      </c>
      <c r="C4" s="3" t="inlineStr">
        <is>
          <t>Direction</t>
        </is>
      </c>
      <c r="D4" s="3" t="inlineStr">
        <is>
          <t>Qty</t>
        </is>
      </c>
      <c r="E4" s="3" t="inlineStr">
        <is>
          <t>Reason</t>
        </is>
      </c>
      <c r="F4" s="3" t="inlineStr">
        <is>
          <t>Reference</t>
        </is>
      </c>
      <c r="G4" s="3" t="inlineStr">
        <is>
          <t>By</t>
        </is>
      </c>
    </row>
    <row r="5">
      <c r="A5" s="4" t="inlineStr">
        <is>
          <t>2026-03-01</t>
        </is>
      </c>
      <c r="B5" s="4" t="inlineStr">
        <is>
          <t>SKU-1003</t>
        </is>
      </c>
      <c r="C5" s="4" t="inlineStr">
        <is>
          <t>Out</t>
        </is>
      </c>
      <c r="D5" s="4" t="inlineStr">
        <is>
          <t>6</t>
        </is>
      </c>
      <c r="E5" s="4" t="inlineStr">
        <is>
          <t>New starter setup</t>
        </is>
      </c>
      <c r="F5" s="4" t="inlineStr">
        <is>
          <t>PO-4471</t>
        </is>
      </c>
      <c r="G5" s="4" t="inlineStr">
        <is>
          <t>IT</t>
        </is>
      </c>
    </row>
    <row r="6">
      <c r="A6" s="4" t="inlineStr">
        <is>
          <t>2026-03-03</t>
        </is>
      </c>
      <c r="B6" s="4" t="inlineStr">
        <is>
          <t>SKU-1006</t>
        </is>
      </c>
      <c r="C6" s="4" t="inlineStr">
        <is>
          <t>In</t>
        </is>
      </c>
      <c r="D6" s="4" t="inlineStr">
        <is>
          <t>40</t>
        </is>
      </c>
      <c r="E6" s="4" t="inlineStr">
        <is>
          <t>Quarterly order</t>
        </is>
      </c>
      <c r="F6" s="4" t="inlineStr">
        <is>
          <t>PO-4472</t>
        </is>
      </c>
      <c r="G6" s="4" t="inlineStr">
        <is>
          <t>Ops</t>
        </is>
      </c>
    </row>
    <row r="7">
      <c r="A7" s="4" t="inlineStr">
        <is>
          <t>2026-03-05</t>
        </is>
      </c>
      <c r="B7" s="4" t="inlineStr">
        <is>
          <t>SKU-1001</t>
        </is>
      </c>
      <c r="C7" s="4" t="inlineStr">
        <is>
          <t>In</t>
        </is>
      </c>
      <c r="D7" s="4" t="inlineStr">
        <is>
          <t>10</t>
        </is>
      </c>
      <c r="E7" s="4" t="inlineStr">
        <is>
          <t>Office expansion</t>
        </is>
      </c>
      <c r="F7" s="4" t="inlineStr">
        <is>
          <t>PO-4473</t>
        </is>
      </c>
      <c r="G7" s="4" t="inlineStr">
        <is>
          <t>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2026-10-04T13:18:27Z</dcterms:created>
  <dcterms:modified xmlns:dcterms="http://purl.org/dc/terms/" xmlns:xsi="http://www.w3.org/2001/XMLSchema-instance" xsi:type="dcterms:W3CDTF">2026-10-04T13:18:27Z</dcterms:modified>
</cp:coreProperties>
</file>