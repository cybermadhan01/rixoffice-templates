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5" customWidth="1" min="8" max="8"/>
  </cols>
  <sheetData>
    <row r="1">
      <c r="A1" s="1" t="inlineStr">
        <is>
          <t>Invoices</t>
        </is>
      </c>
    </row>
    <row r="2">
      <c r="A2" s="2" t="inlineStr">
        <is>
          <t>One row per invoice. Outstanding balance and days overdue are calculated for you.</t>
        </is>
      </c>
    </row>
    <row r="4" ht="30" customHeight="1">
      <c r="A4" s="3" t="inlineStr">
        <is>
          <t>Invoice #</t>
        </is>
      </c>
      <c r="B4" s="3" t="inlineStr">
        <is>
          <t>Client</t>
        </is>
      </c>
      <c r="C4" s="3" t="inlineStr">
        <is>
          <t>Issue date</t>
        </is>
      </c>
      <c r="D4" s="3" t="inlineStr">
        <is>
          <t>Due date</t>
        </is>
      </c>
      <c r="E4" s="3" t="inlineStr">
        <is>
          <t>Amount</t>
        </is>
      </c>
      <c r="F4" s="3" t="inlineStr">
        <is>
          <t>Paid</t>
        </is>
      </c>
      <c r="G4" s="3" t="inlineStr">
        <is>
          <t>Days overdue</t>
        </is>
      </c>
      <c r="H4" s="3" t="inlineStr">
        <is>
          <t>Status</t>
        </is>
      </c>
    </row>
    <row r="5">
      <c r="A5" s="4" t="inlineStr">
        <is>
          <t>INV-2041</t>
        </is>
      </c>
      <c r="B5" s="4" t="inlineStr">
        <is>
          <t>Northwind Ltd</t>
        </is>
      </c>
      <c r="C5" s="4" t="inlineStr">
        <is>
          <t>2026-01-14</t>
        </is>
      </c>
      <c r="D5" s="4" t="inlineStr">
        <is>
          <t>2026-02-13</t>
        </is>
      </c>
      <c r="E5" s="4" t="n">
        <v>12500</v>
      </c>
      <c r="F5" s="4" t="n">
        <v>12500</v>
      </c>
      <c r="G5" s="5">
        <f>IF(G2&gt;0,G2-TODAY(),0)</f>
        <v/>
      </c>
      <c r="H5" s="5">
        <f>IF(E2=F2,"Paid",IF(G2&gt;0,"Overdue","Outstanding"))</f>
        <v/>
      </c>
    </row>
    <row r="6">
      <c r="A6" s="4" t="inlineStr">
        <is>
          <t>INV-2042</t>
        </is>
      </c>
      <c r="B6" s="4" t="inlineStr">
        <is>
          <t>Acme Corp</t>
        </is>
      </c>
      <c r="C6" s="4" t="inlineStr">
        <is>
          <t>2026-01-28</t>
        </is>
      </c>
      <c r="D6" s="4" t="inlineStr">
        <is>
          <t>2026-02-27</t>
        </is>
      </c>
      <c r="E6" s="4" t="n">
        <v>8400</v>
      </c>
      <c r="F6" s="4" t="n">
        <v>0</v>
      </c>
      <c r="G6" s="5">
        <f>IF(G3&gt;0,G3-TODAY(),0)</f>
        <v/>
      </c>
      <c r="H6" s="5">
        <f>IF(E3=F3,"Paid",IF(G3&gt;0,"Overdue","Outstanding"))</f>
        <v/>
      </c>
    </row>
    <row r="7">
      <c r="A7" s="4" t="inlineStr">
        <is>
          <t>INV-2043</t>
        </is>
      </c>
      <c r="B7" s="4" t="inlineStr">
        <is>
          <t>Brightside</t>
        </is>
      </c>
      <c r="C7" s="4" t="inlineStr">
        <is>
          <t>2026-02-04</t>
        </is>
      </c>
      <c r="D7" s="4" t="inlineStr">
        <is>
          <t>2026-03-06</t>
        </is>
      </c>
      <c r="E7" s="4" t="n">
        <v>3200</v>
      </c>
      <c r="F7" s="4" t="n">
        <v>3200</v>
      </c>
      <c r="G7" s="5">
        <f>IF(G4&gt;0,G4-TODAY(),0)</f>
        <v/>
      </c>
      <c r="H7" s="5">
        <f>IF(E4=F4,"Paid",IF(G4&gt;0,"Overdue","Outstanding"))</f>
        <v/>
      </c>
    </row>
    <row r="8">
      <c r="A8" s="4" t="inlineStr">
        <is>
          <t>INV-2044</t>
        </is>
      </c>
      <c r="B8" s="4" t="inlineStr">
        <is>
          <t>Cobalt Inc</t>
        </is>
      </c>
      <c r="C8" s="4" t="inlineStr">
        <is>
          <t>2026-02-19</t>
        </is>
      </c>
      <c r="D8" s="4" t="inlineStr">
        <is>
          <t>2026-03-21</t>
        </is>
      </c>
      <c r="E8" s="4" t="n">
        <v>19800</v>
      </c>
      <c r="F8" s="4" t="n">
        <v>5000</v>
      </c>
      <c r="G8" s="5">
        <f>IF(G5&gt;0,G5-TODAY(),0)</f>
        <v/>
      </c>
      <c r="H8" s="5">
        <f>IF(E5=F5,"Paid",IF(G5&gt;0,"Overdue","Outstanding"))</f>
        <v/>
      </c>
    </row>
    <row r="9">
      <c r="A9" s="4" t="inlineStr">
        <is>
          <t>INV-2045</t>
        </is>
      </c>
      <c r="B9" s="4" t="inlineStr">
        <is>
          <t>Delta Works</t>
        </is>
      </c>
      <c r="C9" s="4" t="inlineStr">
        <is>
          <t>2026-03-01</t>
        </is>
      </c>
      <c r="D9" s="4" t="inlineStr">
        <is>
          <t>2026-03-31</t>
        </is>
      </c>
      <c r="E9" s="4" t="n">
        <v>6700</v>
      </c>
      <c r="F9" s="4" t="n">
        <v>0</v>
      </c>
      <c r="G9" s="5">
        <f>IF(G6&gt;0,G6-TODAY(),0)</f>
        <v/>
      </c>
      <c r="H9" s="5">
        <f>IF(E6=F6,"Paid",IF(G6&gt;0,"Overdue","Outstanding"))</f>
        <v/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SUM(E2:E6)</f>
        <v/>
      </c>
      <c r="F10" s="6">
        <f>SUM(F2:F6)</f>
        <v/>
      </c>
      <c r="G10" s="6" t="inlineStr">
        <is>
          <t>Outstanding:</t>
        </is>
      </c>
      <c r="H10" s="6">
        <f>SUM(E2:E6)-SUM(F2:F6)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</cols>
  <sheetData>
    <row r="1">
      <c r="A1" s="1" t="inlineStr">
        <is>
          <t>Aging</t>
        </is>
      </c>
    </row>
    <row r="2">
      <c r="A2" s="2" t="inlineStr">
        <is>
          <t>Buckets for the receivables review.</t>
        </is>
      </c>
    </row>
    <row r="4" ht="30" customHeight="1">
      <c r="A4" s="3" t="inlineStr">
        <is>
          <t>Bucket</t>
        </is>
      </c>
      <c r="B4" s="3" t="inlineStr">
        <is>
          <t>Count</t>
        </is>
      </c>
      <c r="C4" s="3" t="inlineStr">
        <is>
          <t>Value</t>
        </is>
      </c>
    </row>
    <row r="5">
      <c r="A5" s="4" t="inlineStr">
        <is>
          <t>Current</t>
        </is>
      </c>
      <c r="B5" s="4" t="inlineStr"/>
      <c r="C5" s="5">
        <f>SUMIF(Invoices!H2:H6,"Outstanding",Invoices!E2:E6)-SUMIF(Invoices!H2:H6,"Overdue",Invoices!E2:E6)</f>
        <v/>
      </c>
    </row>
    <row r="6">
      <c r="A6" s="4" t="inlineStr">
        <is>
          <t>1-30 days</t>
        </is>
      </c>
      <c r="B6" s="4" t="inlineStr"/>
      <c r="C6" s="4" t="inlineStr"/>
    </row>
    <row r="7">
      <c r="A7" s="4" t="inlineStr">
        <is>
          <t>31-60 days</t>
        </is>
      </c>
      <c r="B7" s="4" t="inlineStr"/>
      <c r="C7" s="4" t="inlineStr"/>
    </row>
    <row r="8">
      <c r="A8" s="4" t="inlineStr">
        <is>
          <t>61+ days</t>
        </is>
      </c>
      <c r="B8" s="4" t="inlineStr"/>
      <c r="C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2026-10-04T13:18:26Z</dcterms:created>
  <dcterms:modified xmlns:dcterms="http://purl.org/dc/terms/" xmlns:xsi="http://www.w3.org/2001/XMLSchema-instance" xsi:type="dcterms:W3CDTF">2026-10-04T13:18:26Z</dcterms:modified>
</cp:coreProperties>
</file>