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By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C7482"/>
      <sz val="9"/>
    </font>
    <font>
      <b val="1"/>
      <sz val="10"/>
    </font>
    <font>
      <name val="Consolas"/>
      <color rgb="004A5568"/>
      <sz val="9"/>
    </font>
  </fonts>
  <fills count="3">
    <fill>
      <patternFill/>
    </fill>
    <fill>
      <patternFill patternType="gray125"/>
    </fill>
    <fill>
      <patternFill patternType="solid">
        <fgColor rgb="00E8EBF0"/>
      </patternFill>
    </fill>
  </fills>
  <borders count="2">
    <border>
      <left/>
      <right/>
      <top/>
      <bottom/>
      <diagonal/>
    </border>
    <border>
      <left style="thin">
        <color rgb="00C6CBD4"/>
      </left>
      <right style="thin">
        <color rgb="00C6CBD4"/>
      </right>
      <top style="thin">
        <color rgb="00C6CBD4"/>
      </top>
      <bottom style="thin">
        <color rgb="00C6CB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3" customWidth="1" min="3" max="3"/>
    <col width="11" customWidth="1" min="4" max="4"/>
    <col width="10" customWidth="1" min="5" max="5"/>
    <col width="10" customWidth="1" min="6" max="6"/>
    <col width="11" customWidth="1" min="7" max="7"/>
    <col width="13" customWidth="1" min="8" max="8"/>
  </cols>
  <sheetData>
    <row r="1">
      <c r="A1" s="1" t="inlineStr">
        <is>
          <t>Expenses</t>
        </is>
      </c>
    </row>
    <row r="2">
      <c r="A2" s="2" t="inlineStr">
        <is>
          <t>One row per expense. Keep the receipt reference so the audit is painless.</t>
        </is>
      </c>
    </row>
    <row r="4" ht="30" customHeight="1">
      <c r="A4" s="3" t="inlineStr">
        <is>
          <t>Date</t>
        </is>
      </c>
      <c r="B4" s="3" t="inlineStr">
        <is>
          <t>Description</t>
        </is>
      </c>
      <c r="C4" s="3" t="inlineStr">
        <is>
          <t>Category</t>
        </is>
      </c>
      <c r="D4" s="3" t="inlineStr">
        <is>
          <t>Payment</t>
        </is>
      </c>
      <c r="E4" s="3" t="inlineStr">
        <is>
          <t>Amount</t>
        </is>
      </c>
      <c r="F4" s="3" t="inlineStr">
        <is>
          <t>Tax</t>
        </is>
      </c>
      <c r="G4" s="3" t="inlineStr">
        <is>
          <t>Receipt</t>
        </is>
      </c>
      <c r="H4" s="3" t="inlineStr">
        <is>
          <t>Reimbursable</t>
        </is>
      </c>
    </row>
    <row r="5">
      <c r="A5" s="4" t="inlineStr">
        <is>
          <t>2026-01-03</t>
        </is>
      </c>
      <c r="B5" s="4" t="inlineStr">
        <is>
          <t>Team coffee</t>
        </is>
      </c>
      <c r="C5" s="4" t="inlineStr">
        <is>
          <t>Meals</t>
        </is>
      </c>
      <c r="D5" s="4" t="inlineStr">
        <is>
          <t>Card</t>
        </is>
      </c>
      <c r="E5" s="4" t="n">
        <v>42.1</v>
      </c>
      <c r="F5" s="4" t="n">
        <v>6.41</v>
      </c>
      <c r="G5" s="4" t="inlineStr">
        <is>
          <t>R-0001</t>
        </is>
      </c>
      <c r="H5" s="4" t="inlineStr">
        <is>
          <t>Yes</t>
        </is>
      </c>
    </row>
    <row r="6">
      <c r="A6" s="4" t="inlineStr">
        <is>
          <t>2026-01-09</t>
        </is>
      </c>
      <c r="B6" s="4" t="inlineStr">
        <is>
          <t>Train to client site</t>
        </is>
      </c>
      <c r="C6" s="4" t="inlineStr">
        <is>
          <t>Travel</t>
        </is>
      </c>
      <c r="D6" s="4" t="inlineStr">
        <is>
          <t>Card</t>
        </is>
      </c>
      <c r="E6" s="4" t="n">
        <v>128.4</v>
      </c>
      <c r="F6" s="4" t="n">
        <v>19.51</v>
      </c>
      <c r="G6" s="4" t="inlineStr">
        <is>
          <t>R-0002</t>
        </is>
      </c>
      <c r="H6" s="4" t="inlineStr">
        <is>
          <t>Yes</t>
        </is>
      </c>
    </row>
    <row r="7">
      <c r="A7" s="4" t="inlineStr">
        <is>
          <t>2026-01-15</t>
        </is>
      </c>
      <c r="B7" s="4" t="inlineStr">
        <is>
          <t>Figma annual</t>
        </is>
      </c>
      <c r="C7" s="4" t="inlineStr">
        <is>
          <t>Software</t>
        </is>
      </c>
      <c r="D7" s="4" t="inlineStr">
        <is>
          <t>Card</t>
        </is>
      </c>
      <c r="E7" s="4" t="n">
        <v>144</v>
      </c>
      <c r="F7" s="4" t="n">
        <v>21.9</v>
      </c>
      <c r="G7" s="4" t="inlineStr">
        <is>
          <t>R-0003</t>
        </is>
      </c>
      <c r="H7" s="4" t="inlineStr">
        <is>
          <t>No</t>
        </is>
      </c>
    </row>
    <row r="8">
      <c r="A8" s="4" t="inlineStr">
        <is>
          <t>2026-01-22</t>
        </is>
      </c>
      <c r="B8" s="4" t="inlineStr">
        <is>
          <t>Client dinner</t>
        </is>
      </c>
      <c r="C8" s="4" t="inlineStr">
        <is>
          <t>Meals</t>
        </is>
      </c>
      <c r="D8" s="4" t="inlineStr">
        <is>
          <t>Card</t>
        </is>
      </c>
      <c r="E8" s="4" t="n">
        <v>186.25</v>
      </c>
      <c r="F8" s="4" t="n">
        <v>28.31</v>
      </c>
      <c r="G8" s="4" t="inlineStr">
        <is>
          <t>R-0004</t>
        </is>
      </c>
      <c r="H8" s="4" t="inlineStr">
        <is>
          <t>Yes</t>
        </is>
      </c>
    </row>
    <row r="9">
      <c r="A9" s="4" t="inlineStr">
        <is>
          <t>2026-02-02</t>
        </is>
      </c>
      <c r="B9" s="4" t="inlineStr">
        <is>
          <t>Conference ticket</t>
        </is>
      </c>
      <c r="C9" s="4" t="inlineStr">
        <is>
          <t>Events</t>
        </is>
      </c>
      <c r="D9" s="4" t="inlineStr">
        <is>
          <t>Transfer</t>
        </is>
      </c>
      <c r="E9" s="4" t="n">
        <v>640</v>
      </c>
      <c r="F9" s="4" t="n">
        <v>97.29000000000001</v>
      </c>
      <c r="G9" s="4" t="inlineStr">
        <is>
          <t>R-0005</t>
        </is>
      </c>
      <c r="H9" s="4" t="inlineStr">
        <is>
          <t>Yes</t>
        </is>
      </c>
    </row>
    <row r="10">
      <c r="A10" s="4" t="inlineStr">
        <is>
          <t>2026-02-11</t>
        </is>
      </c>
      <c r="B10" s="4" t="inlineStr">
        <is>
          <t>Domain renewal</t>
        </is>
      </c>
      <c r="C10" s="4" t="inlineStr">
        <is>
          <t>Software</t>
        </is>
      </c>
      <c r="D10" s="4" t="inlineStr">
        <is>
          <t>Card</t>
        </is>
      </c>
      <c r="E10" s="4" t="n">
        <v>28</v>
      </c>
      <c r="F10" s="4" t="n">
        <v>4.26</v>
      </c>
      <c r="G10" s="4" t="inlineStr">
        <is>
          <t>R-0006</t>
        </is>
      </c>
      <c r="H10" s="4" t="inlineStr">
        <is>
          <t>No</t>
        </is>
      </c>
    </row>
    <row r="11">
      <c r="A11" s="4" t="inlineStr">
        <is>
          <t>2026-02-19</t>
        </is>
      </c>
      <c r="B11" s="4" t="inlineStr">
        <is>
          <t>Parking</t>
        </is>
      </c>
      <c r="C11" s="4" t="inlineStr">
        <is>
          <t>Travel</t>
        </is>
      </c>
      <c r="D11" s="4" t="inlineStr">
        <is>
          <t>Cash</t>
        </is>
      </c>
      <c r="E11" s="4" t="n">
        <v>24</v>
      </c>
      <c r="F11" s="4" t="n">
        <v>0</v>
      </c>
      <c r="G11" s="4" t="inlineStr">
        <is>
          <t>R-0007</t>
        </is>
      </c>
      <c r="H11" s="4" t="inlineStr">
        <is>
          <t>Yes</t>
        </is>
      </c>
    </row>
    <row r="12">
      <c r="A12" s="4" t="inlineStr">
        <is>
          <t>2026-03-01</t>
        </is>
      </c>
      <c r="B12" s="4" t="inlineStr">
        <is>
          <t>Office supplies</t>
        </is>
      </c>
      <c r="C12" s="4" t="inlineStr">
        <is>
          <t>Office</t>
        </is>
      </c>
      <c r="D12" s="4" t="inlineStr">
        <is>
          <t>Card</t>
        </is>
      </c>
      <c r="E12" s="4" t="n">
        <v>76.90000000000001</v>
      </c>
      <c r="F12" s="4" t="n">
        <v>11.69</v>
      </c>
      <c r="G12" s="4" t="inlineStr">
        <is>
          <t>R-0008</t>
        </is>
      </c>
      <c r="H12" s="4" t="inlineStr">
        <is>
          <t>Yes</t>
        </is>
      </c>
    </row>
    <row r="13">
      <c r="A13" s="5" t="inlineStr">
        <is>
          <t>Total</t>
        </is>
      </c>
      <c r="B13" s="5" t="inlineStr"/>
      <c r="C13" s="5" t="inlineStr"/>
      <c r="D13" s="5" t="inlineStr"/>
      <c r="E13" s="5">
        <f>SUM(E2:E9)</f>
        <v/>
      </c>
      <c r="F13" s="5">
        <f>SUM(F2:F9)</f>
        <v/>
      </c>
      <c r="G13" s="5" t="inlineStr"/>
      <c r="H13" s="5" t="inlineStr">
        <is>
          <t xml:space="preserve">Reimbursable: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3" customWidth="1" min="3" max="3"/>
    <col width="10" customWidth="1" min="4" max="4"/>
  </cols>
  <sheetData>
    <row r="1">
      <c r="A1" s="1" t="inlineStr">
        <is>
          <t>By category</t>
        </is>
      </c>
    </row>
    <row r="2">
      <c r="A2" s="2" t="inlineStr">
        <is>
          <t>Formula-driven totals per category.</t>
        </is>
      </c>
    </row>
    <row r="4" ht="30" customHeight="1">
      <c r="A4" s="3" t="inlineStr">
        <is>
          <t>Category</t>
        </is>
      </c>
      <c r="B4" s="3" t="inlineStr">
        <is>
          <t>Count</t>
        </is>
      </c>
      <c r="C4" s="3" t="inlineStr">
        <is>
          <t>Total</t>
        </is>
      </c>
      <c r="D4" s="3" t="inlineStr">
        <is>
          <t>Share</t>
        </is>
      </c>
    </row>
    <row r="5">
      <c r="A5" s="4" t="inlineStr">
        <is>
          <t>Meals</t>
        </is>
      </c>
      <c r="B5" s="6">
        <f>COUNTIF(Expenses!C2:C9,"Meals")</f>
        <v/>
      </c>
      <c r="C5" s="6">
        <f>SUMIF(Expenses!C2:C9,"Meals",Expenses!E2:E9)</f>
        <v/>
      </c>
      <c r="D5" s="4" t="inlineStr"/>
    </row>
    <row r="6">
      <c r="A6" s="4" t="inlineStr">
        <is>
          <t>Travel</t>
        </is>
      </c>
      <c r="B6" s="6">
        <f>COUNTIF(Expenses!C2:C9,"Travel")</f>
        <v/>
      </c>
      <c r="C6" s="6">
        <f>SUMIF(Expenses!C2:C9,"Travel",Expenses!E2:E9)</f>
        <v/>
      </c>
      <c r="D6" s="4" t="inlineStr"/>
    </row>
    <row r="7">
      <c r="A7" s="4" t="inlineStr">
        <is>
          <t>Software</t>
        </is>
      </c>
      <c r="B7" s="6">
        <f>COUNTIF(Expenses!C2:C9,"Software")</f>
        <v/>
      </c>
      <c r="C7" s="6">
        <f>SUMIF(Expenses!C2:C9,"Software",Expenses!E2:E9)</f>
        <v/>
      </c>
      <c r="D7" s="4" t="inlineStr"/>
    </row>
    <row r="8">
      <c r="A8" s="4" t="inlineStr">
        <is>
          <t>Events</t>
        </is>
      </c>
      <c r="B8" s="6">
        <f>COUNTIF(Expenses!C2:C9,"Events")</f>
        <v/>
      </c>
      <c r="C8" s="6">
        <f>SUMIF(Expenses!C2:C9,"Events",Expenses!E2:E9)</f>
        <v/>
      </c>
      <c r="D8" s="4" t="inlineStr"/>
    </row>
    <row r="9">
      <c r="A9" s="4" t="inlineStr">
        <is>
          <t>Office</t>
        </is>
      </c>
      <c r="B9" s="6">
        <f>COUNTIF(Expenses!C2:C9,"Office")</f>
        <v/>
      </c>
      <c r="C9" s="6">
        <f>SUMIF(Expenses!C2:C9,"Office",Expenses!E2:E9)</f>
        <v/>
      </c>
      <c r="D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2026-10-04T13:18:27Z</dcterms:created>
  <dcterms:modified xmlns:dcterms="http://purl.org/dc/terms/" xmlns:xsi="http://www.w3.org/2001/XMLSchema-instance" xsi:type="dcterms:W3CDTF">2026-10-04T13:18:27Z</dcterms:modified>
</cp:coreProperties>
</file>