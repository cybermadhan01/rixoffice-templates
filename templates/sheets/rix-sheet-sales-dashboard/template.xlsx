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Funnel" sheetId="2" state="visible" r:id="rId2"/>
    <sheet xmlns:r="http://schemas.openxmlformats.org/officeDocument/2006/relationships" name="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  <font>
      <name val="Consolas"/>
      <color rgb="004A5568"/>
      <sz val="9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0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Pipeline</t>
        </is>
      </c>
    </row>
    <row r="2">
      <c r="A2" s="2" t="inlineStr">
        <is>
          <t>Weighted value multiplies amount by probability. Pipeline total updates live.</t>
        </is>
      </c>
    </row>
    <row r="4" ht="30" customHeight="1">
      <c r="A4" s="3" t="inlineStr">
        <is>
          <t>Deal</t>
        </is>
      </c>
      <c r="B4" s="3" t="inlineStr">
        <is>
          <t>Account</t>
        </is>
      </c>
      <c r="C4" s="3" t="inlineStr">
        <is>
          <t>Owner</t>
        </is>
      </c>
      <c r="D4" s="3" t="inlineStr">
        <is>
          <t>Stage</t>
        </is>
      </c>
      <c r="E4" s="3" t="inlineStr">
        <is>
          <t>Amount</t>
        </is>
      </c>
      <c r="F4" s="3" t="inlineStr">
        <is>
          <t>Probability</t>
        </is>
      </c>
      <c r="G4" s="3" t="inlineStr">
        <is>
          <t>Weighted</t>
        </is>
      </c>
      <c r="H4" s="3" t="inlineStr">
        <is>
          <t>Close date</t>
        </is>
      </c>
    </row>
    <row r="5">
      <c r="A5" s="4" t="inlineStr">
        <is>
          <t>Northwind renewal</t>
        </is>
      </c>
      <c r="B5" s="4" t="inlineStr">
        <is>
          <t>Northwind Ltd</t>
        </is>
      </c>
      <c r="C5" s="4" t="inlineStr">
        <is>
          <t>Ana</t>
        </is>
      </c>
      <c r="D5" s="4" t="inlineStr">
        <is>
          <t>Negotiation</t>
        </is>
      </c>
      <c r="E5" s="4" t="n">
        <v>48000</v>
      </c>
      <c r="F5" s="4" t="n">
        <v>0.7</v>
      </c>
      <c r="G5" s="5">
        <f>E2*F2</f>
        <v/>
      </c>
      <c r="H5" s="4" t="inlineStr">
        <is>
          <t>2026-03-28</t>
        </is>
      </c>
    </row>
    <row r="6">
      <c r="A6" s="4" t="inlineStr">
        <is>
          <t>Acme expansion</t>
        </is>
      </c>
      <c r="B6" s="4" t="inlineStr">
        <is>
          <t>Acme Corp</t>
        </is>
      </c>
      <c r="C6" s="4" t="inlineStr">
        <is>
          <t>Ben</t>
        </is>
      </c>
      <c r="D6" s="4" t="inlineStr">
        <is>
          <t>Proposal</t>
        </is>
      </c>
      <c r="E6" s="4" t="n">
        <v>32000</v>
      </c>
      <c r="F6" s="4" t="n">
        <v>0.45</v>
      </c>
      <c r="G6" s="5">
        <f>E3*F3</f>
        <v/>
      </c>
      <c r="H6" s="4" t="inlineStr">
        <is>
          <t>2026-04-15</t>
        </is>
      </c>
    </row>
    <row r="7">
      <c r="A7" s="4" t="inlineStr">
        <is>
          <t>Brightside new</t>
        </is>
      </c>
      <c r="B7" s="4" t="inlineStr">
        <is>
          <t>Brightside</t>
        </is>
      </c>
      <c r="C7" s="4" t="inlineStr">
        <is>
          <t>Ana</t>
        </is>
      </c>
      <c r="D7" s="4" t="inlineStr">
        <is>
          <t>Discovery</t>
        </is>
      </c>
      <c r="E7" s="4" t="n">
        <v>18500</v>
      </c>
      <c r="F7" s="4" t="n">
        <v>0.2</v>
      </c>
      <c r="G7" s="5">
        <f>E4*F4</f>
        <v/>
      </c>
      <c r="H7" s="4" t="inlineStr">
        <is>
          <t>2026-05-02</t>
        </is>
      </c>
    </row>
    <row r="8">
      <c r="A8" s="4" t="inlineStr">
        <is>
          <t>Cobalt migration</t>
        </is>
      </c>
      <c r="B8" s="4" t="inlineStr">
        <is>
          <t>Cobalt Inc</t>
        </is>
      </c>
      <c r="C8" s="4" t="inlineStr">
        <is>
          <t>Chen</t>
        </is>
      </c>
      <c r="D8" s="4" t="inlineStr">
        <is>
          <t>Negotiation</t>
        </is>
      </c>
      <c r="E8" s="4" t="n">
        <v>74000</v>
      </c>
      <c r="F8" s="4" t="n">
        <v>0.75</v>
      </c>
      <c r="G8" s="5">
        <f>E5*F5</f>
        <v/>
      </c>
      <c r="H8" s="4" t="inlineStr">
        <is>
          <t>2026-03-21</t>
        </is>
      </c>
    </row>
    <row r="9">
      <c r="A9" s="4" t="inlineStr">
        <is>
          <t>Delta pilot</t>
        </is>
      </c>
      <c r="B9" s="4" t="inlineStr">
        <is>
          <t>Delta Works</t>
        </is>
      </c>
      <c r="C9" s="4" t="inlineStr">
        <is>
          <t>Ben</t>
        </is>
      </c>
      <c r="D9" s="4" t="inlineStr">
        <is>
          <t>Qualified</t>
        </is>
      </c>
      <c r="E9" s="4" t="n">
        <v>12000</v>
      </c>
      <c r="F9" s="4" t="n">
        <v>0.3</v>
      </c>
      <c r="G9" s="5">
        <f>E6*F6</f>
        <v/>
      </c>
      <c r="H9" s="4" t="inlineStr">
        <is>
          <t>2026-04-30</t>
        </is>
      </c>
    </row>
    <row r="10">
      <c r="A10" s="4" t="inlineStr">
        <is>
          <t>Ember platform</t>
        </is>
      </c>
      <c r="B10" s="4" t="inlineStr">
        <is>
          <t>Ember Group</t>
        </is>
      </c>
      <c r="C10" s="4" t="inlineStr">
        <is>
          <t>Chen</t>
        </is>
      </c>
      <c r="D10" s="4" t="inlineStr">
        <is>
          <t>Proposal</t>
        </is>
      </c>
      <c r="E10" s="4" t="n">
        <v>26000</v>
      </c>
      <c r="F10" s="4" t="n">
        <v>0.45</v>
      </c>
      <c r="G10" s="5">
        <f>E7*F7</f>
        <v/>
      </c>
      <c r="H10" s="4" t="inlineStr">
        <is>
          <t>2026-04-22</t>
        </is>
      </c>
    </row>
    <row r="11">
      <c r="A11" s="6" t="inlineStr">
        <is>
          <t>Total</t>
        </is>
      </c>
      <c r="B11" s="6" t="inlineStr"/>
      <c r="C11" s="6" t="inlineStr"/>
      <c r="D11" s="6" t="inlineStr"/>
      <c r="E11" s="6">
        <f>SUM(E2:E7)</f>
        <v/>
      </c>
      <c r="F11" s="6">
        <f>IF(E8=0,0,SUMPRODUCT(E2:E7,F2:F7)/E8)</f>
        <v/>
      </c>
      <c r="G11" s="6">
        <f>SUM(G2:G7)</f>
        <v/>
      </c>
      <c r="H1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1" customWidth="1" min="4" max="4"/>
    <col width="13" customWidth="1" min="5" max="5"/>
  </cols>
  <sheetData>
    <row r="1">
      <c r="A1" s="1" t="inlineStr">
        <is>
          <t>Funnel</t>
        </is>
      </c>
    </row>
    <row r="2">
      <c r="A2" s="2" t="inlineStr">
        <is>
          <t>Conversion between stages, last two quarters.</t>
        </is>
      </c>
    </row>
    <row r="4" ht="30" customHeight="1">
      <c r="A4" s="3" t="inlineStr">
        <is>
          <t>Stage</t>
        </is>
      </c>
      <c r="B4" s="3" t="inlineStr">
        <is>
          <t>Q1 deals</t>
        </is>
      </c>
      <c r="C4" s="3" t="inlineStr">
        <is>
          <t>Q1 value</t>
        </is>
      </c>
      <c r="D4" s="3" t="inlineStr">
        <is>
          <t>Q2 deals</t>
        </is>
      </c>
      <c r="E4" s="3" t="inlineStr">
        <is>
          <t>Q2 value</t>
        </is>
      </c>
    </row>
    <row r="5">
      <c r="A5" s="4" t="inlineStr">
        <is>
          <t>Discovery</t>
        </is>
      </c>
      <c r="B5" s="4" t="n">
        <v>34</v>
      </c>
      <c r="C5" s="4" t="n">
        <v>980000</v>
      </c>
      <c r="D5" s="4" t="n">
        <v>41</v>
      </c>
      <c r="E5" s="4" t="n">
        <v>1240000</v>
      </c>
    </row>
    <row r="6">
      <c r="A6" s="4" t="inlineStr">
        <is>
          <t>Qualified</t>
        </is>
      </c>
      <c r="B6" s="4" t="n">
        <v>22</v>
      </c>
      <c r="C6" s="4" t="n">
        <v>720000</v>
      </c>
      <c r="D6" s="4" t="n">
        <v>27</v>
      </c>
      <c r="E6" s="4" t="n">
        <v>890000</v>
      </c>
    </row>
    <row r="7">
      <c r="A7" s="4" t="inlineStr">
        <is>
          <t>Proposal</t>
        </is>
      </c>
      <c r="B7" s="4" t="n">
        <v>14</v>
      </c>
      <c r="C7" s="4" t="n">
        <v>510000</v>
      </c>
      <c r="D7" s="4" t="n">
        <v>19</v>
      </c>
      <c r="E7" s="4" t="n">
        <v>690000</v>
      </c>
    </row>
    <row r="8">
      <c r="A8" s="4" t="inlineStr">
        <is>
          <t>Negotiation</t>
        </is>
      </c>
      <c r="B8" s="4" t="n">
        <v>8</v>
      </c>
      <c r="C8" s="4" t="n">
        <v>340000</v>
      </c>
      <c r="D8" s="4" t="n">
        <v>12</v>
      </c>
      <c r="E8" s="4" t="n">
        <v>480000</v>
      </c>
    </row>
    <row r="9">
      <c r="A9" s="4" t="inlineStr">
        <is>
          <t>Closed won</t>
        </is>
      </c>
      <c r="B9" s="4" t="n">
        <v>5</v>
      </c>
      <c r="C9" s="4" t="n">
        <v>215000</v>
      </c>
      <c r="D9" s="4" t="n">
        <v>9</v>
      </c>
      <c r="E9" s="4" t="n">
        <v>402000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  <col width="13" customWidth="1" min="4" max="4"/>
  </cols>
  <sheetData>
    <row r="1">
      <c r="A1" s="1" t="inlineStr">
        <is>
          <t>KPIs</t>
        </is>
      </c>
    </row>
    <row r="2">
      <c r="A2" s="2" t="inlineStr">
        <is>
          <t>The four numbers the Monday meeting actually looks at.</t>
        </is>
      </c>
    </row>
    <row r="4" ht="30" customHeight="1">
      <c r="A4" s="3" t="inlineStr">
        <is>
          <t>KPI</t>
        </is>
      </c>
      <c r="B4" s="3" t="inlineStr">
        <is>
          <t>This month</t>
        </is>
      </c>
      <c r="C4" s="3" t="inlineStr">
        <is>
          <t>Last month</t>
        </is>
      </c>
      <c r="D4" s="3" t="inlineStr">
        <is>
          <t>Change</t>
        </is>
      </c>
    </row>
    <row r="5">
      <c r="A5" s="4" t="inlineStr">
        <is>
          <t>New ARR booked</t>
        </is>
      </c>
      <c r="B5" s="4" t="inlineStr"/>
      <c r="C5" s="4" t="inlineStr"/>
      <c r="D5" s="4" t="inlineStr"/>
    </row>
    <row r="6">
      <c r="A6" s="4" t="inlineStr">
        <is>
          <t>Win rate</t>
        </is>
      </c>
      <c r="B6" s="4" t="inlineStr"/>
      <c r="C6" s="4" t="inlineStr"/>
      <c r="D6" s="4" t="inlineStr"/>
    </row>
    <row r="7">
      <c r="A7" s="4" t="inlineStr">
        <is>
          <t>Average deal size</t>
        </is>
      </c>
      <c r="B7" s="4" t="inlineStr"/>
      <c r="C7" s="4" t="inlineStr"/>
      <c r="D7" s="4" t="inlineStr"/>
    </row>
    <row r="8">
      <c r="A8" s="4" t="inlineStr">
        <is>
          <t>Sales cycle (days)</t>
        </is>
      </c>
      <c r="B8" s="4" t="inlineStr"/>
      <c r="C8" s="4" t="inlineStr"/>
      <c r="D8" s="4" t="inlineStr"/>
    </row>
    <row r="9">
      <c r="A9" s="4" t="inlineStr">
        <is>
          <t>Pipeline coverage</t>
        </is>
      </c>
      <c r="B9" s="4" t="inlineStr"/>
      <c r="C9" s="4" t="inlineStr"/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2026-10-04T13:18:27Z</dcterms:created>
  <dcterms:modified xmlns:dcterms="http://purl.org/dc/terms/" xmlns:xsi="http://www.w3.org/2001/XMLSchema-instance" xsi:type="dcterms:W3CDTF">2026-10-04T13:18:27Z</dcterms:modified>
</cp:coreProperties>
</file>